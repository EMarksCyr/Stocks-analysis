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3c45164968f2109/Documents/UofT SCS Data Analytics Boot Camp/Module 2 VBA/Stocks-analysis/"/>
    </mc:Choice>
  </mc:AlternateContent>
  <xr:revisionPtr revIDLastSave="5731" documentId="8_{1F7880EE-A499-4E87-920C-A1A24519CFA8}" xr6:coauthVersionLast="46" xr6:coauthVersionMax="46" xr10:uidLastSave="{DAD45AE5-2289-4E45-BB42-8D40C9E0B930}"/>
  <bookViews>
    <workbookView xWindow="11964" yWindow="588" windowWidth="17280" windowHeight="10284" activeTab="4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Runtimes" sheetId="6" r:id="rId5"/>
    <sheet name="practice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6" l="1"/>
  <c r="D12" i="6"/>
  <c r="E12" i="6"/>
  <c r="B12" i="6"/>
  <c r="K32" i="4"/>
  <c r="K31" i="4"/>
  <c r="K30" i="4"/>
  <c r="K29" i="4"/>
  <c r="K28" i="4"/>
  <c r="K27" i="4"/>
  <c r="K26" i="4"/>
  <c r="K25" i="4"/>
  <c r="K24" i="4"/>
  <c r="K23" i="4"/>
  <c r="K22" i="4"/>
  <c r="K21" i="4"/>
  <c r="J22" i="4"/>
  <c r="J23" i="4"/>
  <c r="J24" i="4"/>
  <c r="J25" i="4"/>
  <c r="J26" i="4"/>
  <c r="J27" i="4"/>
  <c r="J28" i="4"/>
  <c r="J29" i="4"/>
  <c r="J30" i="4"/>
  <c r="J31" i="4"/>
  <c r="J32" i="4"/>
  <c r="J21" i="4"/>
</calcChain>
</file>

<file path=xl/sharedStrings.xml><?xml version="1.0" encoding="utf-8"?>
<sst xmlns="http://schemas.openxmlformats.org/spreadsheetml/2006/main" count="12145" uniqueCount="545">
  <si>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</si>
  <si>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</si>
  <si>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</si>
  <si>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</si>
  <si>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</si>
  <si>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</si>
  <si>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</si>
  <si>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</si>
  <si>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</si>
  <si>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</si>
  <si>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</si>
  <si>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</si>
  <si>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</si>
  <si>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</si>
  <si>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</si>
  <si>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</si>
  <si>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</si>
  <si>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</si>
  <si>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</si>
  <si>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</si>
  <si>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</si>
  <si>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</si>
  <si>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</si>
  <si>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</si>
  <si>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</si>
  <si>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</si>
  <si>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</si>
  <si>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</si>
  <si>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</si>
  <si>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</si>
  <si>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</si>
  <si>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</si>
  <si>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</si>
  <si>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</si>
  <si>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</si>
  <si>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</si>
  <si>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</si>
  <si>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</si>
  <si>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</si>
  <si>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</si>
  <si>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</si>
  <si>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</si>
  <si>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</si>
  <si>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</si>
  <si>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</si>
  <si>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</si>
  <si>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</si>
  <si>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</si>
  <si>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</si>
  <si>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</si>
  <si>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</si>
  <si>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</si>
  <si>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</si>
  <si>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</si>
  <si>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</si>
  <si>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</si>
  <si>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</si>
  <si>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</si>
  <si>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</si>
  <si>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</si>
  <si>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</si>
  <si>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</si>
  <si>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</si>
  <si>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</si>
  <si>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</si>
  <si>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</si>
  <si>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</si>
  <si>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</si>
  <si>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</si>
  <si>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</si>
  <si>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</si>
  <si>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</si>
  <si>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</si>
  <si>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</si>
  <si>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</si>
  <si>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</si>
  <si>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</si>
  <si>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</si>
  <si>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</si>
  <si>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</si>
  <si>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</si>
  <si>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</si>
  <si>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</si>
  <si>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</si>
  <si>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</si>
  <si>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</si>
  <si>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</si>
  <si>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</si>
  <si>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</si>
  <si>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</si>
  <si>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</si>
  <si>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</si>
  <si>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</si>
  <si>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</si>
  <si>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</si>
  <si>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</si>
  <si>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</si>
  <si>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</si>
  <si>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</si>
  <si>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</si>
  <si>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</si>
  <si>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</si>
  <si>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</si>
  <si>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</si>
  <si>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</si>
  <si>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</si>
  <si>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</si>
  <si>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</si>
  <si>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</si>
  <si>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</si>
  <si>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</si>
  <si>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</si>
  <si>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</si>
  <si>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</si>
  <si>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</si>
  <si>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</si>
  <si>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</si>
  <si>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</si>
  <si>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</si>
  <si>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</si>
  <si>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</si>
  <si>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</si>
  <si>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</si>
  <si>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</si>
  <si>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</si>
  <si>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</si>
  <si>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</si>
  <si>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</si>
  <si>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</si>
  <si>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</si>
  <si>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</si>
  <si>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</si>
  <si>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</si>
  <si>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</si>
  <si>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</si>
  <si>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</si>
  <si>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</si>
  <si>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</si>
  <si>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</si>
  <si>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</si>
  <si>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</si>
  <si>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</si>
  <si>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</si>
  <si>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</si>
  <si>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</si>
  <si>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</si>
  <si>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</si>
  <si>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</si>
  <si>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</si>
  <si>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</si>
  <si>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</si>
  <si>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</si>
  <si>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</si>
  <si>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</si>
  <si>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</si>
  <si>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</si>
  <si>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</si>
  <si>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</si>
  <si>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</si>
  <si>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</si>
  <si>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</si>
  <si>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</si>
  <si>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</si>
  <si>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</si>
  <si>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</si>
  <si>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</si>
  <si>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</si>
  <si>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</si>
  <si>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</si>
  <si>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</si>
  <si>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</si>
  <si>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</si>
  <si>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</si>
  <si>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</si>
  <si>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</si>
  <si>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</si>
  <si>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</si>
  <si>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</si>
  <si>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</si>
  <si>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</si>
  <si>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</si>
  <si>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</si>
  <si>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</si>
  <si>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</si>
  <si>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</si>
  <si>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</si>
  <si>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</si>
  <si>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</si>
  <si>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</si>
  <si>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</si>
  <si>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</si>
  <si>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</si>
  <si>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</si>
  <si>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</si>
  <si>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</si>
  <si>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</si>
  <si>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</si>
  <si>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</si>
  <si>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</si>
  <si>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</si>
  <si>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</si>
  <si>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</si>
  <si>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</si>
  <si>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</si>
  <si>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</si>
  <si>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</si>
  <si>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</si>
  <si>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</si>
  <si>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</si>
  <si>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</si>
  <si>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</si>
  <si>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</si>
  <si>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</si>
  <si>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</si>
  <si>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</si>
  <si>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</si>
  <si>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</si>
  <si>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</si>
  <si>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</si>
  <si>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</si>
  <si>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</si>
  <si>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</si>
  <si>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</si>
  <si>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</si>
  <si>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</si>
  <si>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</si>
  <si>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</si>
  <si>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</si>
  <si>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</si>
  <si>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</si>
  <si>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</si>
  <si>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</si>
  <si>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</si>
  <si>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</si>
  <si>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</si>
  <si>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</si>
  <si>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</si>
  <si>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</si>
  <si>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</si>
  <si>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</si>
  <si>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</si>
  <si>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</si>
  <si>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</si>
  <si>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</si>
  <si>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</si>
  <si>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</si>
  <si>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</si>
  <si>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</si>
  <si>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</si>
  <si>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</si>
  <si>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</si>
  <si>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</si>
  <si>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</si>
  <si>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</si>
  <si>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</si>
  <si>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</si>
  <si>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</si>
  <si>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</si>
  <si>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</si>
  <si>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</si>
  <si>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</si>
  <si>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</si>
  <si>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</si>
  <si>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</si>
  <si>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</si>
  <si>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</si>
  <si>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</si>
  <si>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</si>
  <si>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</si>
  <si>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</si>
  <si>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</si>
  <si>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</si>
  <si>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</si>
  <si>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</si>
  <si>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</si>
  <si>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</si>
  <si>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</si>
  <si>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</si>
  <si>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</si>
  <si>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</si>
  <si>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</si>
  <si>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</si>
  <si>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</si>
  <si>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</si>
  <si>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</si>
  <si>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</si>
  <si>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</si>
  <si>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</si>
  <si>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</si>
  <si>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</si>
  <si>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</si>
  <si>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</si>
  <si>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</si>
  <si>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</si>
  <si>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</si>
  <si>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</si>
  <si>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</si>
  <si>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</si>
  <si>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</si>
  <si>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</si>
  <si>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</si>
  <si>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</si>
  <si>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</si>
  <si>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</si>
  <si>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</si>
  <si>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</si>
  <si>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</si>
  <si>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</si>
  <si>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</si>
  <si>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</si>
  <si>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</si>
  <si>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</si>
  <si>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</si>
  <si>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</si>
  <si>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</si>
  <si>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</si>
  <si>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</si>
  <si>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</si>
  <si>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</si>
  <si>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</si>
  <si>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</si>
  <si>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</si>
  <si>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</si>
  <si>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</si>
  <si>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</si>
  <si>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</si>
  <si>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</si>
  <si>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</si>
  <si>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</si>
  <si>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</si>
  <si>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</si>
  <si>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</si>
  <si>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</si>
  <si>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</si>
  <si>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</si>
  <si>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</si>
  <si>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</si>
  <si>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</si>
  <si>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</si>
  <si>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</si>
  <si>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</si>
  <si>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</si>
  <si>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</si>
  <si>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</si>
  <si>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</si>
  <si>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</si>
  <si>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</si>
  <si>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</si>
  <si>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</si>
  <si>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</si>
  <si>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</si>
  <si>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</si>
  <si>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</si>
  <si>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</si>
  <si>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</si>
  <si>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</si>
  <si>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</si>
  <si>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</si>
  <si>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</si>
  <si>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</si>
  <si>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</si>
  <si>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</si>
  <si>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</si>
  <si>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</si>
  <si>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</si>
  <si>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</si>
  <si>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</si>
  <si>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</si>
  <si>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</si>
  <si>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</si>
  <si>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</si>
  <si>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</si>
  <si>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</si>
  <si>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</si>
  <si>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</si>
  <si>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</si>
  <si>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</si>
  <si>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</si>
  <si>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</si>
  <si>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</si>
  <si>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</si>
  <si>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</si>
  <si>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</si>
  <si>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</si>
  <si>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</si>
  <si>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</si>
  <si>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</si>
  <si>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</si>
  <si>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</si>
  <si>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</si>
  <si>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</si>
  <si>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</si>
  <si>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</si>
  <si>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</si>
  <si>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</si>
  <si>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</si>
  <si>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</si>
  <si>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</si>
  <si>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</si>
  <si>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</si>
  <si>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</si>
  <si>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</si>
  <si>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</si>
  <si>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</si>
  <si>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</si>
  <si>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</si>
  <si>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</si>
  <si>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</si>
  <si>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</si>
  <si>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</si>
  <si>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</si>
  <si>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</si>
  <si>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</si>
  <si>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</si>
  <si>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</si>
  <si>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</si>
  <si>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</si>
  <si>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</si>
  <si>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</si>
  <si>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</si>
  <si>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</si>
  <si>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</si>
  <si>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</si>
  <si>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</si>
  <si>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</si>
  <si>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</si>
  <si>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</si>
  <si>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</si>
  <si>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</si>
  <si>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</si>
  <si>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</si>
  <si>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</si>
  <si>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</si>
  <si>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</si>
  <si>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</si>
  <si>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</si>
  <si>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</si>
  <si>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</si>
  <si>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</si>
  <si>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</si>
  <si>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</si>
  <si>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</si>
  <si>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</si>
  <si>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</si>
  <si>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</si>
  <si>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</si>
  <si>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</si>
  <si>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</si>
  <si>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</si>
  <si>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</si>
  <si>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</si>
  <si>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</si>
  <si>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</si>
  <si>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</si>
  <si>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</si>
  <si>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</si>
  <si>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</si>
  <si>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</si>
  <si>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</si>
  <si>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</si>
  <si>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</si>
  <si>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</si>
  <si>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</si>
  <si>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</si>
  <si>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</si>
  <si>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</si>
  <si>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</si>
  <si>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</si>
  <si>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</si>
  <si>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</si>
  <si>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</si>
  <si>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</si>
  <si>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</si>
  <si>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</si>
  <si>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</si>
  <si>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</si>
  <si>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</si>
  <si>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</si>
  <si>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</si>
  <si>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</si>
  <si>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</si>
  <si>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</si>
  <si>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</si>
  <si>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</si>
  <si>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</si>
  <si>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</si>
  <si>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</si>
  <si>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</si>
  <si>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</si>
  <si>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</si>
  <si>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</si>
  <si>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</si>
  <si>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</si>
  <si>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</si>
  <si>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</si>
  <si>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</si>
  <si>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</si>
  <si>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</si>
  <si>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</si>
  <si>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</si>
  <si>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</si>
  <si>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</si>
  <si>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</si>
  <si>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</si>
  <si>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</si>
  <si>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</si>
  <si>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</si>
  <si>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</si>
  <si>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</si>
  <si>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</si>
  <si>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</si>
  <si>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</si>
  <si>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</si>
  <si>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</si>
  <si>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</si>
  <si>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</si>
  <si>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</si>
  <si>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</si>
  <si>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</si>
  <si>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</si>
  <si>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</si>
  <si>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</si>
  <si>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</si>
  <si>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</si>
  <si>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</si>
  <si>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(2018).</t>
  </si>
  <si>
    <t>All Stocks (2018)</t>
  </si>
  <si>
    <t>Trends</t>
  </si>
  <si>
    <t>Total Daily Volume Trend</t>
  </si>
  <si>
    <t>Return Trend</t>
  </si>
  <si>
    <t>original 2017</t>
  </si>
  <si>
    <t>original 2018</t>
  </si>
  <si>
    <t>refactored 2017</t>
  </si>
  <si>
    <t>refactored 2018</t>
  </si>
  <si>
    <t>Average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</si>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</sst>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2FD"/>
        <bgColor indexed="64"/>
      </patternFill>
    </fill>
    <fill>
      <patternFill patternType="solid">
        <fgColor rgb="FFE2E5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2" xfId="0" applyFont="1" applyBorder="1"/>
    <xf numFmtId="164" fontId="0" fillId="4" borderId="0" xfId="0" applyNumberFormat="1" applyFill="1"/>
    <xf numFmtId="164" fontId="0" fillId="5" borderId="0" xfId="0" applyNumberFormat="1" applyFill="1"/>
    <xf numFmtId="0" fontId="0" fillId="5" borderId="0" xfId="0" applyFill="1"/>
    <xf numFmtId="0" fontId="0" fillId="4" borderId="0" xfId="0" applyFill="1"/>
    <xf numFmtId="2" fontId="0" fillId="4" borderId="0" xfId="0" applyNumberFormat="1" applyFill="1"/>
    <xf numFmtId="2" fontId="0" fillId="5" borderId="0" xfId="0" applyNumberFormat="1" applyFill="1"/>
    <xf numFmtId="0" fontId="1" fillId="6" borderId="0" xfId="0" applyFont="1" applyFill="1" applyBorder="1"/>
    <xf numFmtId="0" fontId="0" fillId="6" borderId="3" xfId="0" applyFill="1" applyBorder="1"/>
    <xf numFmtId="0" fontId="0" fillId="6" borderId="0" xfId="0" applyFill="1" applyBorder="1"/>
    <xf numFmtId="0" fontId="0" fillId="6" borderId="2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7620</xdr:rowOff>
        </xdr:from>
        <xdr:to>
          <xdr:col>6</xdr:col>
          <xdr:colOff>7620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7</xdr:row>
          <xdr:rowOff>7620</xdr:rowOff>
        </xdr:from>
        <xdr:to>
          <xdr:col>6</xdr:col>
          <xdr:colOff>0</xdr:colOff>
          <xdr:row>8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601980</xdr:colOff>
          <xdr:row>2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7620</xdr:colOff>
          <xdr:row>10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K13" sqref="K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5" sqref="H5"/>
    </sheetView>
  </sheetViews>
  <sheetFormatPr defaultColWidth="8.77734375" defaultRowHeight="14.4" x14ac:dyDescent="0.3"/>
  <sheetData>
    <row r="1" spans="1:8" x14ac:dyDescent="0.3">
      <c r="A1" s="1" t="s">
        <v>525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4E7C5-4AFA-4569-B1B0-5EC44774F1DE}">
  <sheetPr codeName="Sheet3"/>
  <dimension ref="A1:C4"/>
  <sheetViews>
    <sheetView workbookViewId="0">
      <selection activeCell="B4" sqref="B4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FE49F-80ED-4CB2-9AD1-50051A4C102F}">
  <sheetPr codeName="Sheet4"/>
  <dimension ref="A1:K32"/>
  <sheetViews>
    <sheetView workbookViewId="0">
      <selection activeCell="F3" sqref="F3"/>
    </sheetView>
  </sheetViews>
  <sheetFormatPr defaultRowHeight="14.4" x14ac:dyDescent="0.3"/>
  <cols>
    <col min="2" max="2" width="16.88671875" bestFit="1" customWidth="1"/>
    <col min="6" max="6" width="11.33203125" customWidth="1"/>
    <col min="10" max="10" width="23.33203125" customWidth="1"/>
    <col min="11" max="11" width="13.44140625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523</v>
      </c>
      <c r="C3" s="6" t="s">
        <v>524</v>
      </c>
    </row>
    <row r="4" spans="1:3" x14ac:dyDescent="0.3">
      <c r="A4" t="s">
        <v>8</v>
      </c>
      <c r="B4" s="2">
        <v>83079900</v>
      </c>
      <c r="C4" s="7">
        <v>-7.2847634553909302E-2</v>
      </c>
    </row>
    <row r="5" spans="1:3" x14ac:dyDescent="0.3">
      <c r="A5" t="s">
        <v>9</v>
      </c>
      <c r="B5" s="2">
        <v>200879900</v>
      </c>
      <c r="C5" s="7">
        <v>-0.16336052119731903</v>
      </c>
    </row>
    <row r="6" spans="1:3" x14ac:dyDescent="0.3">
      <c r="A6" t="s">
        <v>10</v>
      </c>
      <c r="B6" s="2">
        <v>107873900</v>
      </c>
      <c r="C6" s="7">
        <v>-0.62601888179779053</v>
      </c>
    </row>
    <row r="7" spans="1:3" x14ac:dyDescent="0.3">
      <c r="A7" t="s">
        <v>11</v>
      </c>
      <c r="B7" s="2">
        <v>607473500</v>
      </c>
      <c r="C7" s="8">
        <v>0.81923085451126099</v>
      </c>
    </row>
    <row r="8" spans="1:3" x14ac:dyDescent="0.3">
      <c r="A8" t="s">
        <v>12</v>
      </c>
      <c r="B8" s="2">
        <v>478113900</v>
      </c>
      <c r="C8" s="7">
        <v>-0.39713191986083984</v>
      </c>
    </row>
    <row r="9" spans="1:3" x14ac:dyDescent="0.3">
      <c r="A9" t="s">
        <v>13</v>
      </c>
      <c r="B9" s="2">
        <v>104340600</v>
      </c>
      <c r="C9" s="7">
        <v>-0.20658062398433685</v>
      </c>
    </row>
    <row r="10" spans="1:3" x14ac:dyDescent="0.3">
      <c r="A10" t="s">
        <v>14</v>
      </c>
      <c r="B10" s="2">
        <v>158309000</v>
      </c>
      <c r="C10" s="7">
        <v>-0.6053471565246582</v>
      </c>
    </row>
    <row r="11" spans="1:3" x14ac:dyDescent="0.3">
      <c r="A11" t="s">
        <v>15</v>
      </c>
      <c r="B11" s="2">
        <v>502757100</v>
      </c>
      <c r="C11" s="8">
        <v>0.83952707052230835</v>
      </c>
    </row>
    <row r="12" spans="1:3" x14ac:dyDescent="0.3">
      <c r="A12" t="s">
        <v>16</v>
      </c>
      <c r="B12" s="2">
        <v>237212300</v>
      </c>
      <c r="C12" s="7">
        <v>-7.7529586851596832E-2</v>
      </c>
    </row>
    <row r="13" spans="1:3" x14ac:dyDescent="0.3">
      <c r="A13" t="s">
        <v>17</v>
      </c>
      <c r="B13" s="2">
        <v>538024300</v>
      </c>
      <c r="C13" s="7">
        <v>-0.44593092799186707</v>
      </c>
    </row>
    <row r="14" spans="1:3" x14ac:dyDescent="0.3">
      <c r="A14" t="s">
        <v>18</v>
      </c>
      <c r="B14" s="2">
        <v>151434700</v>
      </c>
      <c r="C14" s="7">
        <v>-4.9957673996686935E-2</v>
      </c>
    </row>
    <row r="15" spans="1:3" x14ac:dyDescent="0.3">
      <c r="A15" t="s">
        <v>19</v>
      </c>
      <c r="B15" s="2">
        <v>136539100</v>
      </c>
      <c r="C15" s="7">
        <v>-3.5443063825368881E-2</v>
      </c>
    </row>
    <row r="19" spans="1:11" x14ac:dyDescent="0.3">
      <c r="A19">
        <v>2017</v>
      </c>
      <c r="E19">
        <v>2018</v>
      </c>
      <c r="I19" t="s">
        <v>527</v>
      </c>
    </row>
    <row r="20" spans="1:11" x14ac:dyDescent="0.3">
      <c r="A20" t="s">
        <v>0</v>
      </c>
      <c r="B20" t="s">
        <v>523</v>
      </c>
      <c r="C20" t="s">
        <v>524</v>
      </c>
      <c r="E20" t="s">
        <v>0</v>
      </c>
      <c r="F20" t="s">
        <v>523</v>
      </c>
      <c r="G20" t="s">
        <v>524</v>
      </c>
      <c r="I20" t="s">
        <v>0</v>
      </c>
      <c r="J20" t="s">
        <v>528</v>
      </c>
      <c r="K20" t="s">
        <v>529</v>
      </c>
    </row>
    <row r="21" spans="1:11" x14ac:dyDescent="0.3">
      <c r="A21" t="s">
        <v>8</v>
      </c>
      <c r="B21">
        <v>136070900</v>
      </c>
      <c r="C21" s="9">
        <v>8.9368253946304321E-2</v>
      </c>
      <c r="E21" t="s">
        <v>8</v>
      </c>
      <c r="F21">
        <v>83079900</v>
      </c>
      <c r="G21" s="10">
        <v>-7.2847634553909302E-2</v>
      </c>
      <c r="I21" t="s">
        <v>8</v>
      </c>
      <c r="J21" s="11">
        <f>F21-B21</f>
        <v>-52991000</v>
      </c>
      <c r="K21" s="10">
        <f>G21-C21</f>
        <v>-0.16221588850021362</v>
      </c>
    </row>
    <row r="22" spans="1:11" x14ac:dyDescent="0.3">
      <c r="A22" t="s">
        <v>9</v>
      </c>
      <c r="B22">
        <v>310592800</v>
      </c>
      <c r="C22" s="9">
        <v>0.33070248365402222</v>
      </c>
      <c r="E22" t="s">
        <v>9</v>
      </c>
      <c r="F22">
        <v>200879900</v>
      </c>
      <c r="G22" s="10">
        <v>-0.16336052119731903</v>
      </c>
      <c r="I22" t="s">
        <v>9</v>
      </c>
      <c r="J22" s="11">
        <f t="shared" ref="J22:J32" si="0">F22-B22</f>
        <v>-109712900</v>
      </c>
      <c r="K22" s="10">
        <f t="shared" ref="K22:K32" si="1">G22-C22</f>
        <v>-0.49406300485134125</v>
      </c>
    </row>
    <row r="23" spans="1:11" x14ac:dyDescent="0.3">
      <c r="A23" t="s">
        <v>10</v>
      </c>
      <c r="B23">
        <v>35796200</v>
      </c>
      <c r="C23" s="9">
        <v>1.9944583177566528</v>
      </c>
      <c r="E23" t="s">
        <v>10</v>
      </c>
      <c r="F23">
        <v>107873900</v>
      </c>
      <c r="G23" s="10">
        <v>-0.62601888179779053</v>
      </c>
      <c r="I23" t="s">
        <v>10</v>
      </c>
      <c r="J23" s="12">
        <f t="shared" si="0"/>
        <v>72077700</v>
      </c>
      <c r="K23" s="10">
        <f t="shared" si="1"/>
        <v>-2.6204771995544434</v>
      </c>
    </row>
    <row r="24" spans="1:11" x14ac:dyDescent="0.3">
      <c r="A24" t="s">
        <v>11</v>
      </c>
      <c r="B24">
        <v>221772100</v>
      </c>
      <c r="C24" s="9">
        <v>1.2952382564544678</v>
      </c>
      <c r="E24" t="s">
        <v>11</v>
      </c>
      <c r="F24">
        <v>607473500</v>
      </c>
      <c r="G24" s="9">
        <v>0.81923085451126099</v>
      </c>
      <c r="I24" t="s">
        <v>11</v>
      </c>
      <c r="J24" s="12">
        <f t="shared" si="0"/>
        <v>385701400</v>
      </c>
      <c r="K24" s="10">
        <f t="shared" si="1"/>
        <v>-0.47600740194320679</v>
      </c>
    </row>
    <row r="25" spans="1:11" x14ac:dyDescent="0.3">
      <c r="A25" t="s">
        <v>12</v>
      </c>
      <c r="B25">
        <v>684181400</v>
      </c>
      <c r="C25" s="9">
        <v>1.0131185054779053</v>
      </c>
      <c r="E25" t="s">
        <v>12</v>
      </c>
      <c r="F25">
        <v>478113900</v>
      </c>
      <c r="G25" s="10">
        <v>-0.39713191986083984</v>
      </c>
      <c r="I25" t="s">
        <v>12</v>
      </c>
      <c r="J25" s="11">
        <f t="shared" si="0"/>
        <v>-206067500</v>
      </c>
      <c r="K25" s="10">
        <f t="shared" si="1"/>
        <v>-1.4102504253387451</v>
      </c>
    </row>
    <row r="26" spans="1:11" x14ac:dyDescent="0.3">
      <c r="A26" t="s">
        <v>13</v>
      </c>
      <c r="B26">
        <v>80949300</v>
      </c>
      <c r="C26" s="9">
        <v>0.2583681046962738</v>
      </c>
      <c r="E26" t="s">
        <v>13</v>
      </c>
      <c r="F26">
        <v>104340600</v>
      </c>
      <c r="G26" s="10">
        <v>-0.20658062398433685</v>
      </c>
      <c r="I26" t="s">
        <v>13</v>
      </c>
      <c r="J26" s="12">
        <f t="shared" si="0"/>
        <v>23391300</v>
      </c>
      <c r="K26" s="10">
        <f t="shared" si="1"/>
        <v>-0.46494872868061066</v>
      </c>
    </row>
    <row r="27" spans="1:11" x14ac:dyDescent="0.3">
      <c r="A27" t="s">
        <v>14</v>
      </c>
      <c r="B27">
        <v>191632200</v>
      </c>
      <c r="C27" s="9">
        <v>0.53870755434036255</v>
      </c>
      <c r="E27" t="s">
        <v>14</v>
      </c>
      <c r="F27">
        <v>158309000</v>
      </c>
      <c r="G27" s="10">
        <v>-0.6053471565246582</v>
      </c>
      <c r="I27" t="s">
        <v>14</v>
      </c>
      <c r="J27" s="11">
        <f t="shared" si="0"/>
        <v>-33323200</v>
      </c>
      <c r="K27" s="10">
        <f t="shared" si="1"/>
        <v>-1.1440547108650208</v>
      </c>
    </row>
    <row r="28" spans="1:11" x14ac:dyDescent="0.3">
      <c r="A28" t="s">
        <v>15</v>
      </c>
      <c r="B28">
        <v>267681300</v>
      </c>
      <c r="C28" s="9">
        <v>5.5456161499023438E-2</v>
      </c>
      <c r="E28" t="s">
        <v>15</v>
      </c>
      <c r="F28">
        <v>502757100</v>
      </c>
      <c r="G28" s="9">
        <v>0.83952707052230835</v>
      </c>
      <c r="I28" t="s">
        <v>15</v>
      </c>
      <c r="J28" s="12">
        <f t="shared" si="0"/>
        <v>235075800</v>
      </c>
      <c r="K28" s="9">
        <f t="shared" si="1"/>
        <v>0.78407090902328491</v>
      </c>
    </row>
    <row r="29" spans="1:11" x14ac:dyDescent="0.3">
      <c r="A29" t="s">
        <v>16</v>
      </c>
      <c r="B29">
        <v>206885200</v>
      </c>
      <c r="C29" s="9">
        <v>1.8446969985961914</v>
      </c>
      <c r="E29" t="s">
        <v>16</v>
      </c>
      <c r="F29">
        <v>237212300</v>
      </c>
      <c r="G29" s="10">
        <v>-7.7529586851596832E-2</v>
      </c>
      <c r="I29" t="s">
        <v>16</v>
      </c>
      <c r="J29" s="12">
        <f t="shared" si="0"/>
        <v>30327100</v>
      </c>
      <c r="K29" s="10">
        <f t="shared" si="1"/>
        <v>-1.9222265854477882</v>
      </c>
    </row>
    <row r="30" spans="1:11" x14ac:dyDescent="0.3">
      <c r="A30" t="s">
        <v>17</v>
      </c>
      <c r="B30">
        <v>782187000</v>
      </c>
      <c r="C30" s="9">
        <v>0.23065699636936188</v>
      </c>
      <c r="E30" t="s">
        <v>17</v>
      </c>
      <c r="F30">
        <v>538024300</v>
      </c>
      <c r="G30" s="10">
        <v>-0.44593092799186707</v>
      </c>
      <c r="I30" t="s">
        <v>17</v>
      </c>
      <c r="J30" s="11">
        <f t="shared" si="0"/>
        <v>-244162700</v>
      </c>
      <c r="K30" s="10">
        <f t="shared" si="1"/>
        <v>-0.67658792436122894</v>
      </c>
    </row>
    <row r="31" spans="1:11" x14ac:dyDescent="0.3">
      <c r="A31" t="s">
        <v>18</v>
      </c>
      <c r="B31">
        <v>139402800</v>
      </c>
      <c r="C31" s="10">
        <v>-7.2148971259593964E-2</v>
      </c>
      <c r="E31" t="s">
        <v>18</v>
      </c>
      <c r="F31">
        <v>151434700</v>
      </c>
      <c r="G31" s="10">
        <v>-4.9957673996686935E-2</v>
      </c>
      <c r="I31" t="s">
        <v>18</v>
      </c>
      <c r="J31" s="12">
        <f t="shared" si="0"/>
        <v>12031900</v>
      </c>
      <c r="K31" s="9">
        <f t="shared" si="1"/>
        <v>2.2191297262907028E-2</v>
      </c>
    </row>
    <row r="32" spans="1:11" x14ac:dyDescent="0.3">
      <c r="A32" t="s">
        <v>19</v>
      </c>
      <c r="B32">
        <v>109487900</v>
      </c>
      <c r="C32" s="9">
        <v>0.50000005960464478</v>
      </c>
      <c r="E32" t="s">
        <v>19</v>
      </c>
      <c r="F32">
        <v>136539100</v>
      </c>
      <c r="G32" s="10">
        <v>-3.5443063825368881E-2</v>
      </c>
      <c r="I32" t="s">
        <v>19</v>
      </c>
      <c r="J32" s="12">
        <f t="shared" si="0"/>
        <v>27051200</v>
      </c>
      <c r="K32" s="10">
        <f t="shared" si="1"/>
        <v>-0.53544312343001366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formatting">
                <anchor moveWithCells="1" sizeWithCells="1">
                  <from>
                    <xdr:col>4</xdr:col>
                    <xdr:colOff>0</xdr:colOff>
                    <xdr:row>5</xdr:row>
                    <xdr:rowOff>7620</xdr:rowOff>
                  </from>
                  <to>
                    <xdr:col>6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learall">
                <anchor moveWithCells="1" sizeWithCells="1">
                  <from>
                    <xdr:col>4</xdr:col>
                    <xdr:colOff>7620</xdr:colOff>
                    <xdr:row>7</xdr:row>
                    <xdr:rowOff>7620</xdr:rowOff>
                  </from>
                  <to>
                    <xdr:col>6</xdr:col>
                    <xdr:colOff>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7620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465E5-BEE8-481A-8EFB-34863ACF6F41}">
  <sheetPr codeName="Sheet6"/>
  <dimension ref="A1:E12"/>
  <sheetViews>
    <sheetView tabSelected="1" workbookViewId="0">
      <selection activeCell="E20" sqref="E20"/>
    </sheetView>
  </sheetViews>
  <sheetFormatPr defaultRowHeight="14.4" x14ac:dyDescent="0.3"/>
  <cols>
    <col min="2" max="2" width="11.44140625" bestFit="1" customWidth="1"/>
    <col min="3" max="3" width="14.21875" bestFit="1" customWidth="1"/>
    <col min="4" max="4" width="11.44140625" bestFit="1" customWidth="1"/>
    <col min="5" max="5" width="14.21875" bestFit="1" customWidth="1"/>
  </cols>
  <sheetData>
    <row r="1" spans="1:5" x14ac:dyDescent="0.3">
      <c r="A1" s="13"/>
      <c r="B1" s="13" t="s">
        <v>530</v>
      </c>
      <c r="C1" s="13" t="s">
        <v>532</v>
      </c>
      <c r="D1" s="13" t="s">
        <v>531</v>
      </c>
      <c r="E1" s="13" t="s">
        <v>533</v>
      </c>
    </row>
    <row r="2" spans="1:5" x14ac:dyDescent="0.3">
      <c r="A2" s="14" t="s">
        <v>535</v>
      </c>
      <c r="B2" s="14">
        <v>0.7390137</v>
      </c>
      <c r="C2" s="14">
        <v>0.14904790000000001</v>
      </c>
      <c r="D2" s="14">
        <v>0.74902340000000001</v>
      </c>
      <c r="E2" s="14">
        <v>0.14807129999999999</v>
      </c>
    </row>
    <row r="3" spans="1:5" x14ac:dyDescent="0.3">
      <c r="A3" s="15" t="s">
        <v>536</v>
      </c>
      <c r="B3" s="15">
        <v>0.74700929999999999</v>
      </c>
      <c r="C3" s="15">
        <v>0.1450195</v>
      </c>
      <c r="D3" s="15">
        <v>0.72802730000000004</v>
      </c>
      <c r="E3" s="15">
        <v>0.1500244</v>
      </c>
    </row>
    <row r="4" spans="1:5" x14ac:dyDescent="0.3">
      <c r="A4" s="15" t="s">
        <v>537</v>
      </c>
      <c r="B4" s="15">
        <v>0.73602290000000004</v>
      </c>
      <c r="C4" s="15">
        <v>0.1479492</v>
      </c>
      <c r="D4" s="15">
        <v>0.81494140000000004</v>
      </c>
      <c r="E4" s="15">
        <v>0.1500244</v>
      </c>
    </row>
    <row r="5" spans="1:5" x14ac:dyDescent="0.3">
      <c r="A5" s="15" t="s">
        <v>538</v>
      </c>
      <c r="B5" s="15">
        <v>0.72601320000000003</v>
      </c>
      <c r="C5" s="15">
        <v>0.1489258</v>
      </c>
      <c r="D5" s="15">
        <v>0.73999020000000004</v>
      </c>
      <c r="E5" s="15">
        <v>0.14392089999999999</v>
      </c>
    </row>
    <row r="6" spans="1:5" x14ac:dyDescent="0.3">
      <c r="A6" s="15" t="s">
        <v>539</v>
      </c>
      <c r="B6" s="15">
        <v>0.74304199999999998</v>
      </c>
      <c r="C6" s="15">
        <v>0.15197749999999999</v>
      </c>
      <c r="D6" s="15">
        <v>0.72802730000000004</v>
      </c>
      <c r="E6" s="15">
        <v>0.14807129999999999</v>
      </c>
    </row>
    <row r="7" spans="1:5" x14ac:dyDescent="0.3">
      <c r="A7" s="15" t="s">
        <v>540</v>
      </c>
      <c r="B7" s="15">
        <v>0.72198490000000004</v>
      </c>
      <c r="C7" s="15">
        <v>0.15405269999999999</v>
      </c>
      <c r="D7" s="15">
        <v>0.73608399999999996</v>
      </c>
      <c r="E7" s="15">
        <v>0.14697270000000001</v>
      </c>
    </row>
    <row r="8" spans="1:5" x14ac:dyDescent="0.3">
      <c r="A8" s="15" t="s">
        <v>541</v>
      </c>
      <c r="B8" s="15">
        <v>0.73199460000000005</v>
      </c>
      <c r="C8" s="15">
        <v>0.14904790000000001</v>
      </c>
      <c r="D8" s="15">
        <v>0.75500489999999998</v>
      </c>
      <c r="E8" s="15">
        <v>0.1489258</v>
      </c>
    </row>
    <row r="9" spans="1:5" x14ac:dyDescent="0.3">
      <c r="A9" s="15" t="s">
        <v>542</v>
      </c>
      <c r="B9" s="15">
        <v>0.74102780000000001</v>
      </c>
      <c r="C9" s="15">
        <v>0.144043</v>
      </c>
      <c r="D9" s="15">
        <v>0.74206539999999999</v>
      </c>
      <c r="E9" s="15">
        <v>0.1479492</v>
      </c>
    </row>
    <row r="10" spans="1:5" x14ac:dyDescent="0.3">
      <c r="A10" s="15" t="s">
        <v>543</v>
      </c>
      <c r="B10" s="15">
        <v>0.72302250000000001</v>
      </c>
      <c r="C10" s="15">
        <v>0.15405269999999999</v>
      </c>
      <c r="D10" s="15">
        <v>0.74194340000000003</v>
      </c>
      <c r="E10" s="15">
        <v>0.14697270000000001</v>
      </c>
    </row>
    <row r="11" spans="1:5" x14ac:dyDescent="0.3">
      <c r="A11" s="16" t="s">
        <v>544</v>
      </c>
      <c r="B11" s="16">
        <v>0.73803099999999999</v>
      </c>
      <c r="C11" s="16">
        <v>0.1479492</v>
      </c>
      <c r="D11" s="16">
        <v>0.75097659999999999</v>
      </c>
      <c r="E11" s="16">
        <v>0.1500244</v>
      </c>
    </row>
    <row r="12" spans="1:5" x14ac:dyDescent="0.3">
      <c r="A12" s="13" t="s">
        <v>534</v>
      </c>
      <c r="B12" s="13">
        <f>AVERAGE(B2:B11)</f>
        <v>0.7347161900000001</v>
      </c>
      <c r="C12" s="13">
        <f t="shared" ref="C12:E12" si="0">AVERAGE(C2:C11)</f>
        <v>0.14920654</v>
      </c>
      <c r="D12" s="13">
        <f t="shared" si="0"/>
        <v>0.74860839000000001</v>
      </c>
      <c r="E12" s="13">
        <f t="shared" si="0"/>
        <v>0.14809570999999999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1A2E5-0527-4B08-B960-E75BD8527EF6}">
  <sheetPr codeName="Sheet5"/>
  <dimension ref="A1:I9"/>
  <sheetViews>
    <sheetView workbookViewId="0">
      <selection activeCell="F21" sqref="F21"/>
    </sheetView>
  </sheetViews>
  <sheetFormatPr defaultRowHeight="14.4" x14ac:dyDescent="0.3"/>
  <sheetData>
    <row r="1" spans="1:9" x14ac:dyDescent="0.3">
      <c r="A1" s="4"/>
      <c r="B1" s="5"/>
      <c r="C1" s="4"/>
      <c r="D1" s="5"/>
      <c r="E1" s="4"/>
      <c r="F1" s="5"/>
      <c r="G1" s="4"/>
      <c r="H1" s="5"/>
      <c r="I1" s="3"/>
    </row>
    <row r="2" spans="1:9" x14ac:dyDescent="0.3">
      <c r="A2" s="5"/>
      <c r="B2" s="4"/>
      <c r="C2" s="5"/>
      <c r="D2" s="4"/>
      <c r="E2" s="5"/>
      <c r="F2" s="4"/>
      <c r="G2" s="5"/>
      <c r="H2" s="4"/>
      <c r="I2" s="3"/>
    </row>
    <row r="3" spans="1:9" x14ac:dyDescent="0.3">
      <c r="A3" s="4"/>
      <c r="B3" s="5"/>
      <c r="C3" s="4"/>
      <c r="D3" s="5"/>
      <c r="E3" s="4"/>
      <c r="F3" s="5"/>
      <c r="G3" s="4"/>
      <c r="H3" s="5"/>
      <c r="I3" s="3"/>
    </row>
    <row r="4" spans="1:9" x14ac:dyDescent="0.3">
      <c r="A4" s="5"/>
      <c r="B4" s="4"/>
      <c r="C4" s="5"/>
      <c r="D4" s="4"/>
      <c r="E4" s="5"/>
      <c r="F4" s="4"/>
      <c r="G4" s="5"/>
      <c r="H4" s="4"/>
      <c r="I4" s="3"/>
    </row>
    <row r="5" spans="1:9" x14ac:dyDescent="0.3">
      <c r="A5" s="4"/>
      <c r="B5" s="5"/>
      <c r="C5" s="4"/>
      <c r="D5" s="5"/>
      <c r="E5" s="4"/>
      <c r="F5" s="5"/>
      <c r="G5" s="4"/>
      <c r="H5" s="5"/>
      <c r="I5" s="3"/>
    </row>
    <row r="6" spans="1:9" x14ac:dyDescent="0.3">
      <c r="A6" s="5"/>
      <c r="B6" s="4"/>
      <c r="C6" s="5"/>
      <c r="D6" s="4"/>
      <c r="E6" s="5"/>
      <c r="F6" s="4"/>
      <c r="G6" s="5"/>
      <c r="H6" s="4"/>
      <c r="I6" s="3"/>
    </row>
    <row r="7" spans="1:9" x14ac:dyDescent="0.3">
      <c r="A7" s="4"/>
      <c r="B7" s="5"/>
      <c r="C7" s="4"/>
      <c r="D7" s="5"/>
      <c r="E7" s="4"/>
      <c r="F7" s="5"/>
      <c r="G7" s="4"/>
      <c r="H7" s="5"/>
      <c r="I7" s="3"/>
    </row>
    <row r="8" spans="1:9" x14ac:dyDescent="0.3">
      <c r="A8" s="5"/>
      <c r="B8" s="4"/>
      <c r="C8" s="5"/>
      <c r="D8" s="4"/>
      <c r="E8" s="5"/>
      <c r="F8" s="4"/>
      <c r="G8" s="5"/>
      <c r="H8" s="4"/>
      <c r="I8" s="3"/>
    </row>
    <row r="9" spans="1:9" x14ac:dyDescent="0.3">
      <c r="A9" s="3"/>
      <c r="B9" s="3"/>
      <c r="C9" s="3"/>
      <c r="D9" s="3"/>
      <c r="E9" s="3"/>
      <c r="F9" s="3"/>
      <c r="G9" s="3"/>
      <c r="H9" s="3"/>
      <c r="I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Runtimes</vt:lpstr>
      <vt:lpstr>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Elizabeth Marks</cp:lastModifiedBy>
  <dcterms:created xsi:type="dcterms:W3CDTF">2019-05-02T20:23:55Z</dcterms:created>
  <dcterms:modified xsi:type="dcterms:W3CDTF">2021-03-14T05:33:24Z</dcterms:modified>
</cp:coreProperties>
</file>